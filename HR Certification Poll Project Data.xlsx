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ratech-my.sharepoint.com/personal/eric_cook_mitratech_com/Documents/Data, Excel and Stats/HR Certification Survey/"/>
    </mc:Choice>
  </mc:AlternateContent>
  <xr:revisionPtr revIDLastSave="969" documentId="13_ncr:1_{45D54665-A5F3-40FA-BE2C-0820B33825E3}" xr6:coauthVersionLast="47" xr6:coauthVersionMax="47" xr10:uidLastSave="{F4B51CDA-1305-460F-A800-A1CCFC94A8D3}"/>
  <bookViews>
    <workbookView xWindow="28680" yWindow="-120" windowWidth="38640" windowHeight="21120" activeTab="6" xr2:uid="{538F72FF-24CC-4B73-8E24-6A92C6C354A9}"/>
  </bookViews>
  <sheets>
    <sheet name="2018" sheetId="1" r:id="rId1"/>
    <sheet name="2019" sheetId="2" r:id="rId2"/>
    <sheet name="2020" sheetId="3" r:id="rId3"/>
    <sheet name="2021" sheetId="5" r:id="rId4"/>
    <sheet name="2022" sheetId="6" r:id="rId5"/>
    <sheet name="HRCI numbers" sheetId="4" r:id="rId6"/>
    <sheet name="Chart" sheetId="8" r:id="rId7"/>
    <sheet name="Full Time Series" sheetId="7" r:id="rId8"/>
    <sheet name="Notes" sheetId="9" r:id="rId9"/>
  </sheets>
  <definedNames>
    <definedName name="_xlnm._FilterDatabase" localSheetId="1" hidden="1">'2019'!$A$2:$A$5</definedName>
    <definedName name="_xlnm._FilterDatabase" localSheetId="3" hidden="1">'2021'!$A$2:$H$7</definedName>
    <definedName name="_xlnm._FilterDatabase" localSheetId="4" hidden="1">'2022'!$A$2:$H$7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6" i="7" l="1"/>
  <c r="B25" i="7"/>
  <c r="B24" i="7"/>
  <c r="B23" i="7"/>
  <c r="B22" i="7"/>
  <c r="B21" i="7"/>
  <c r="F26" i="7"/>
  <c r="E26" i="7"/>
  <c r="D26" i="7"/>
  <c r="F25" i="7"/>
  <c r="E25" i="7"/>
  <c r="D25" i="7"/>
  <c r="F24" i="7"/>
  <c r="E24" i="7"/>
  <c r="D24" i="7"/>
  <c r="F23" i="7"/>
  <c r="E23" i="7"/>
  <c r="D23" i="7"/>
  <c r="F22" i="7"/>
  <c r="E22" i="7"/>
  <c r="D22" i="7"/>
  <c r="F21" i="7"/>
  <c r="E21" i="7"/>
  <c r="D21" i="7"/>
  <c r="C26" i="7"/>
  <c r="C25" i="7"/>
  <c r="C24" i="7"/>
  <c r="C23" i="7"/>
  <c r="C22" i="7"/>
  <c r="C21" i="7"/>
  <c r="F18" i="7"/>
  <c r="E18" i="7"/>
  <c r="D18" i="7"/>
  <c r="F17" i="7"/>
  <c r="E17" i="7"/>
  <c r="D17" i="7"/>
  <c r="F16" i="7"/>
  <c r="E16" i="7"/>
  <c r="D16" i="7"/>
  <c r="F15" i="7"/>
  <c r="E15" i="7"/>
  <c r="D15" i="7"/>
  <c r="F14" i="7"/>
  <c r="E14" i="7"/>
  <c r="D14" i="7"/>
  <c r="F13" i="7"/>
  <c r="E13" i="7"/>
  <c r="D13" i="7"/>
  <c r="C18" i="7"/>
  <c r="C17" i="7"/>
  <c r="C16" i="7"/>
  <c r="C15" i="7"/>
  <c r="C14" i="7"/>
  <c r="C13" i="7"/>
  <c r="B12" i="4"/>
  <c r="A10" i="6"/>
  <c r="H3" i="6"/>
  <c r="H6" i="6"/>
  <c r="H7" i="6"/>
  <c r="H4" i="6"/>
  <c r="H5" i="6"/>
  <c r="H4" i="5"/>
  <c r="H5" i="5"/>
  <c r="H6" i="5"/>
  <c r="H7" i="5"/>
  <c r="H3" i="5"/>
  <c r="C10" i="3" l="1"/>
  <c r="A10" i="3"/>
  <c r="B3" i="3" l="1"/>
  <c r="B4" i="3"/>
  <c r="B8" i="3"/>
  <c r="B5" i="3"/>
  <c r="B6" i="3"/>
  <c r="B7" i="3"/>
  <c r="A7" i="2"/>
  <c r="B7" i="2"/>
  <c r="B1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Cook</author>
  </authors>
  <commentList>
    <comment ref="B4" authorId="0" shapeId="0" xr:uid="{075B5C2C-CFE6-4DF3-8B80-750B02CD6EAA}">
      <text>
        <r>
          <rPr>
            <b/>
            <sz val="9"/>
            <color indexed="81"/>
            <rFont val="Tahoma"/>
            <charset val="1"/>
          </rPr>
          <t>Eric Cook:</t>
        </r>
        <r>
          <rPr>
            <sz val="9"/>
            <color indexed="81"/>
            <rFont val="Tahoma"/>
            <charset val="1"/>
          </rPr>
          <t xml:space="preserve">
2017 data reported as percentages only; raw vote counts not available.</t>
        </r>
      </text>
    </comment>
    <comment ref="B10" authorId="0" shapeId="0" xr:uid="{45984ABA-87DD-4C44-A824-16DD53EBFDBE}">
      <text>
        <r>
          <rPr>
            <b/>
            <sz val="9"/>
            <color indexed="81"/>
            <rFont val="Tahoma"/>
            <charset val="1"/>
          </rPr>
          <t>Eric Cook:</t>
        </r>
        <r>
          <rPr>
            <sz val="9"/>
            <color indexed="81"/>
            <rFont val="Tahoma"/>
            <charset val="1"/>
          </rPr>
          <t xml:space="preserve">
2017 poll was informal; total participant count not recorded.</t>
        </r>
      </text>
    </comment>
    <comment ref="B13" authorId="0" shapeId="0" xr:uid="{B3A8E880-8C89-4E10-A93F-66154552FB71}">
      <text>
        <r>
          <rPr>
            <b/>
            <sz val="9"/>
            <color indexed="81"/>
            <rFont val="Tahoma"/>
            <charset val="1"/>
          </rPr>
          <t>Eric Cook:</t>
        </r>
        <r>
          <rPr>
            <sz val="9"/>
            <color indexed="81"/>
            <rFont val="Tahoma"/>
            <charset val="1"/>
          </rPr>
          <t xml:space="preserve">
2017 reported as ~50% HRCI with no raw vote counts.</t>
        </r>
      </text>
    </comment>
    <comment ref="B15" authorId="0" shapeId="0" xr:uid="{C90800A2-AE8F-42F5-B196-60ED084D5192}">
      <text>
        <r>
          <rPr>
            <b/>
            <sz val="9"/>
            <color indexed="81"/>
            <rFont val="Tahoma"/>
            <charset val="1"/>
          </rPr>
          <t>Eric Cook:</t>
        </r>
        <r>
          <rPr>
            <sz val="9"/>
            <color indexed="81"/>
            <rFont val="Tahoma"/>
            <charset val="1"/>
          </rPr>
          <t xml:space="preserve">
Category not offered in 2017 poll.</t>
        </r>
      </text>
    </comment>
    <comment ref="B16" authorId="0" shapeId="0" xr:uid="{77779396-E26A-4AFC-80BD-A14511670B7F}">
      <text>
        <r>
          <rPr>
            <b/>
            <sz val="9"/>
            <color indexed="81"/>
            <rFont val="Tahoma"/>
            <charset val="1"/>
          </rPr>
          <t>Eric Cook:</t>
        </r>
        <r>
          <rPr>
            <sz val="9"/>
            <color indexed="81"/>
            <rFont val="Tahoma"/>
            <charset val="1"/>
          </rPr>
          <t xml:space="preserve">
2017 reported as ~50% No Preference.</t>
        </r>
      </text>
    </comment>
  </commentList>
</comments>
</file>

<file path=xl/sharedStrings.xml><?xml version="1.0" encoding="utf-8"?>
<sst xmlns="http://schemas.openxmlformats.org/spreadsheetml/2006/main" count="142" uniqueCount="83">
  <si>
    <t>HR Certification Polling</t>
  </si>
  <si>
    <t>HRCI</t>
  </si>
  <si>
    <t>No Pref</t>
  </si>
  <si>
    <t>SHRM</t>
  </si>
  <si>
    <t>CP and SCP by SHRM</t>
  </si>
  <si>
    <t>PHR and SPHR by HRCI</t>
  </si>
  <si>
    <t>I find them equally credible</t>
  </si>
  <si>
    <t>30 participants</t>
  </si>
  <si>
    <t>Polling</t>
  </si>
  <si>
    <t>No preference</t>
  </si>
  <si>
    <t>rounding</t>
  </si>
  <si>
    <t>Options</t>
  </si>
  <si>
    <t>Percent</t>
  </si>
  <si>
    <t>No preference or don't care</t>
  </si>
  <si>
    <t>Other</t>
  </si>
  <si>
    <t>I have elaborate and complicated opinions on this</t>
  </si>
  <si>
    <t>Rank</t>
  </si>
  <si>
    <t>Change from last year</t>
  </si>
  <si>
    <t>NR</t>
  </si>
  <si>
    <t>-</t>
  </si>
  <si>
    <t>tie 3</t>
  </si>
  <si>
    <t>% Increase</t>
  </si>
  <si>
    <t>n/a</t>
  </si>
  <si>
    <t>Number of HRCI Certification Holders as of February 15, 2020</t>
  </si>
  <si>
    <t>CREDENTIAL</t>
  </si>
  <si>
    <t>NUMBER OF CREDENTIAL HOLDERS</t>
  </si>
  <si>
    <t>aPHR</t>
  </si>
  <si>
    <t>PHR</t>
  </si>
  <si>
    <t>SPHR</t>
  </si>
  <si>
    <t>GPHR</t>
  </si>
  <si>
    <t>PHRca*</t>
  </si>
  <si>
    <t>aPHRi </t>
  </si>
  <si>
    <t>PHRi</t>
  </si>
  <si>
    <t>SPHRi</t>
  </si>
  <si>
    <t>2021 Rank</t>
  </si>
  <si>
    <t>Votes</t>
  </si>
  <si>
    <t>%</t>
  </si>
  <si>
    <t>Votes last time</t>
  </si>
  <si>
    <t>Choice</t>
  </si>
  <si>
    <t>2020 rank</t>
  </si>
  <si>
    <t>+1</t>
  </si>
  <si>
    <t>2022 Rank</t>
  </si>
  <si>
    <t>-1</t>
  </si>
  <si>
    <t>HR Certification Poll — Multi-Year Time Series</t>
  </si>
  <si>
    <t>VOTE COUNTS</t>
  </si>
  <si>
    <t>PHR / SPHR by HRCI</t>
  </si>
  <si>
    <t>CP / SCP by SHRM</t>
  </si>
  <si>
    <t>Elaborate / complicated opinions</t>
  </si>
  <si>
    <t>Total Respondents</t>
  </si>
  <si>
    <t>—</t>
  </si>
  <si>
    <t>PERCENTAGE OF RESPONDENTS</t>
  </si>
  <si>
    <t>RANK (by vote count)</t>
  </si>
  <si>
    <t>HR Certification Poll</t>
  </si>
  <si>
    <t>Project Description</t>
  </si>
  <si>
    <t>Data Summary</t>
  </si>
  <si>
    <t>• Total respondents grew from ~30 (2019) to 44 (2022)</t>
  </si>
  <si>
    <t>• Poll options: PHR/SPHR by HRCI, CP/SCP by SHRM, Equally Credible, No Preference, Elaborate/Complicated Opinions, Other</t>
  </si>
  <si>
    <t>• Key finding: "I find them equally credible" has been the #1 response every year since 2019</t>
  </si>
  <si>
    <t>Workbook Structure</t>
  </si>
  <si>
    <t>Year</t>
  </si>
  <si>
    <t>PHR/SPHR by HRCI</t>
  </si>
  <si>
    <t>CP/SCP by SHRM</t>
  </si>
  <si>
    <t>Equally Credible</t>
  </si>
  <si>
    <t>No Preference</t>
  </si>
  <si>
    <t>Elaborate Opinions</t>
  </si>
  <si>
    <t>2019</t>
  </si>
  <si>
    <t>2020</t>
  </si>
  <si>
    <t>2021</t>
  </si>
  <si>
    <t>2022</t>
  </si>
  <si>
    <t>Sample Size (n)</t>
  </si>
  <si>
    <t xml:space="preserve">Total Reported as of 2/15/2020: </t>
  </si>
  <si>
    <t xml:space="preserve">In my most recent unofficial poll in 2018, the result (of votes cast) was close to a 50-50 split between HRCI certifications and "no preference" with no votes for SHRM. Of note, a lot of these votes came with qualifiers and a number of pros did not vote. As I see it, the clear majority of non-voters and "no preference" voters, reflects on our non-denominational stance or indicates an amount of neutrality or wait and see perspectives.   </t>
  </si>
  <si>
    <t>• Years covered: 2018, 2019, 2020, 2021, 2022</t>
  </si>
  <si>
    <t>An annual poll tracking which HR certification(s) professionals find most credible - HRCI (PHR/SPHR), SHRM (CP/SCP), or equally credible, conducted from 2018 to 2022.</t>
  </si>
  <si>
    <t>• 2018 - Initial poll results (HRCI vs. No Preference vs. SHRM)</t>
  </si>
  <si>
    <t>• 2019 - Expanded poll with 30 participants and 4 options</t>
  </si>
  <si>
    <t>• 2020 - 42 respondents; added "elaborate opinions" option</t>
  </si>
  <si>
    <t>• 2021 - 39 respondents</t>
  </si>
  <si>
    <t>• 2022 - 44 respondents</t>
  </si>
  <si>
    <t>• HRCI numbers - Snapshot of HRCI credential holders as of Feb 15, 2020 (137,267 total)</t>
  </si>
  <si>
    <t>• Time Series - Multi-year consolidated view with vote counts, percentages, and rankings</t>
  </si>
  <si>
    <t>• Chart - Visualization tab</t>
  </si>
  <si>
    <t>• Notes - This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</si>
</sst>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80808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theme="1"/>
      <name val="Calibri"/>
      <family val="2"/>
      <scheme val="minor"/>
    </font>
    <font>
      <b/>
      <sz val="11"/>
      <color theme="1"/>
      <name val="Amasis MT Pro"/>
      <family val="1"/>
    </font>
    <font>
      <sz val="11"/>
      <color theme="1"/>
      <name val="Amasis MT Pro"/>
      <family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4472C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/>
    <xf numFmtId="9" fontId="0" fillId="0" borderId="0" xfId="1" applyFont="1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164" fontId="0" fillId="0" borderId="0" xfId="2" applyNumberFormat="1" applyFont="1"/>
    <xf numFmtId="1" fontId="0" fillId="0" borderId="0" xfId="0" applyNumberFormat="1"/>
    <xf numFmtId="0" fontId="0" fillId="0" borderId="0" xfId="0" quotePrefix="1" applyAlignment="1">
      <alignment horizontal="center"/>
    </xf>
    <xf numFmtId="0" fontId="5" fillId="2" borderId="1" xfId="0" applyFont="1" applyFill="1" applyBorder="1"/>
    <xf numFmtId="1" fontId="5" fillId="2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0" borderId="2" xfId="0" applyFont="1" applyBorder="1"/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/>
    <xf numFmtId="0" fontId="6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/>
    <xf numFmtId="0" fontId="9" fillId="0" borderId="0" xfId="0" applyFont="1"/>
    <xf numFmtId="49" fontId="5" fillId="2" borderId="1" xfId="0" applyNumberFormat="1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49" fontId="11" fillId="0" borderId="0" xfId="0" applyNumberFormat="1" applyFont="1"/>
    <xf numFmtId="9" fontId="11" fillId="0" borderId="0" xfId="0" applyNumberFormat="1" applyFont="1"/>
    <xf numFmtId="1" fontId="11" fillId="0" borderId="0" xfId="0" applyNumberFormat="1" applyFont="1"/>
    <xf numFmtId="49" fontId="11" fillId="4" borderId="0" xfId="0" applyNumberFormat="1" applyFont="1" applyFill="1"/>
    <xf numFmtId="9" fontId="11" fillId="4" borderId="0" xfId="0" applyNumberFormat="1" applyFont="1" applyFill="1"/>
    <xf numFmtId="1" fontId="11" fillId="4" borderId="0" xfId="0" applyNumberFormat="1" applyFont="1" applyFill="1"/>
    <xf numFmtId="0" fontId="11" fillId="4" borderId="0" xfId="0" applyFont="1" applyFill="1"/>
    <xf numFmtId="0" fontId="4" fillId="0" borderId="0" xfId="0" applyFont="1"/>
    <xf numFmtId="0" fontId="0" fillId="0" borderId="0" xfId="0" applyAlignment="1">
      <alignment horizontal="left" wrapText="1"/>
    </xf>
    <xf numFmtId="49" fontId="10" fillId="0" borderId="0" xfId="0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B2B2B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HR Certification Credibility Poll (2018–2022)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B2B2B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394730616255155E-2"/>
          <c:y val="5.7482993197278905E-2"/>
          <c:w val="0.92769059487924566"/>
          <c:h val="0.86247174460335319"/>
        </c:manualLayout>
      </c:layout>
      <c:barChart>
        <c:barDir val="col"/>
        <c:grouping val="clustered"/>
        <c:varyColors val="0"/>
        <c:ser>
          <c:idx val="5"/>
          <c:order val="5"/>
          <c:tx>
            <c:strRef>
              <c:f>Chart!$G$1</c:f>
              <c:strCache>
                <c:ptCount val="1"/>
                <c:pt idx="0">
                  <c:v>Sample Size (n)</c:v>
                </c:pt>
              </c:strCache>
            </c:strRef>
          </c:tx>
          <c:spPr>
            <a:solidFill>
              <a:srgbClr val="F0F0F0"/>
            </a:solidFill>
            <a:ln>
              <a:solidFill>
                <a:srgbClr val="E0E0E0"/>
              </a:solidFill>
              <a:prstDash val="solid"/>
            </a:ln>
            <a:effectLst>
              <a:softEdge rad="12700"/>
            </a:effectLst>
          </c:spPr>
          <c:invertIfNegative val="0"/>
          <c:dLbls>
            <c:dLbl>
              <c:idx val="4"/>
              <c:tx>
                <c:rich>
                  <a:bodyPr/>
                  <a:lstStyle/>
                  <a:p>
                    <a:fld id="{59B090F2-F552-42CB-9E29-D444A08B5788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Chart!$A$2:$A$6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Chart!$G$2:$G$6</c:f>
              <c:numCache>
                <c:formatCode>0</c:formatCode>
                <c:ptCount val="5"/>
                <c:pt idx="0" formatCode="General">
                  <c:v>22</c:v>
                </c:pt>
                <c:pt idx="1">
                  <c:v>30</c:v>
                </c:pt>
                <c:pt idx="2">
                  <c:v>42</c:v>
                </c:pt>
                <c:pt idx="3">
                  <c:v>39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D3E-4BFC-8492-910F5143BC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356827359"/>
        <c:axId val="356818239"/>
      </c:barChart>
      <c:lineChart>
        <c:grouping val="standar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PHR/SPHR by HRCI</c:v>
                </c:pt>
              </c:strCache>
            </c:strRef>
          </c:tx>
          <c:spPr>
            <a:ln w="28575" cap="rnd">
              <a:solidFill>
                <a:srgbClr val="2C3E6B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FFFF"/>
              </a:solidFill>
              <a:ln w="9525">
                <a:solidFill>
                  <a:srgbClr val="2C3E6B"/>
                </a:solidFill>
                <a:prstDash val="solid"/>
              </a:ln>
              <a:effectLst/>
            </c:spPr>
          </c:marker>
          <c:dLbls>
            <c:dLbl>
              <c:idx val="0"/>
              <c:layout>
                <c:manualLayout>
                  <c:x val="-2.2622834924001425E-2"/>
                  <c:y val="2.38095238095237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A6-46A6-A00F-D181AAFE3264}"/>
                </c:ext>
              </c:extLst>
            </c:dLbl>
            <c:dLbl>
              <c:idx val="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2C3E6B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A6-46A6-A00F-D181AAFE3264}"/>
                </c:ext>
              </c:extLst>
            </c:dLbl>
            <c:dLbl>
              <c:idx val="2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2C3E6B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A6-46A6-A00F-D181AAFE3264}"/>
                </c:ext>
              </c:extLst>
            </c:dLbl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2C3E6B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3E-4BFC-8492-910F5143BCE5}"/>
                </c:ext>
              </c:extLst>
            </c:dLbl>
            <c:dLbl>
              <c:idx val="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2C3E6B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Chart!$A$2:$A$6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Chart!$B$2:$B$6</c:f>
              <c:numCache>
                <c:formatCode>0%</c:formatCode>
                <c:ptCount val="5"/>
                <c:pt idx="0" formatCode="General">
                  <c:v>0.5</c:v>
                </c:pt>
                <c:pt idx="1">
                  <c:v>0.4</c:v>
                </c:pt>
                <c:pt idx="2">
                  <c:v>0.3095</c:v>
                </c:pt>
                <c:pt idx="3">
                  <c:v>0.15379999999999999</c:v>
                </c:pt>
                <c:pt idx="4">
                  <c:v>0.2727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3E-4BFC-8492-910F5143BCE5}"/>
            </c:ext>
          </c:extLst>
        </c:ser>
        <c:ser>
          <c:idx val="1"/>
          <c:order val="1"/>
          <c:tx>
            <c:strRef>
              <c:f>Chart!$C$1</c:f>
              <c:strCache>
                <c:ptCount val="1"/>
                <c:pt idx="0">
                  <c:v>CP/SCP by SHRM</c:v>
                </c:pt>
              </c:strCache>
            </c:strRef>
          </c:tx>
          <c:spPr>
            <a:ln w="28575" cap="rnd">
              <a:solidFill>
                <a:srgbClr val="C75B3F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FFFF"/>
              </a:solidFill>
              <a:ln w="9525">
                <a:solidFill>
                  <a:srgbClr val="C75B3F"/>
                </a:solidFill>
                <a:prstDash val="solid"/>
              </a:ln>
              <a:effectLst/>
            </c:spPr>
          </c:marker>
          <c:dLbls>
            <c:dLbl>
              <c:idx val="1"/>
              <c:layout>
                <c:manualLayout>
                  <c:x val="-2.1159420289855072E-2"/>
                  <c:y val="-3.3465102576463658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C75B3F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A6-46A6-A00F-D181AAFE3264}"/>
                </c:ext>
              </c:extLst>
            </c:dLbl>
            <c:dLbl>
              <c:idx val="2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C75B3F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A6-46A6-A00F-D181AAFE3264}"/>
                </c:ext>
              </c:extLst>
            </c:dLbl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C75B3F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3E-4BFC-8492-910F5143BCE5}"/>
                </c:ext>
              </c:extLst>
            </c:dLbl>
            <c:dLbl>
              <c:idx val="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C75B3F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Chart!$A$2:$A$6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Chart!$C$2:$C$6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3.3300000000000003E-2</c:v>
                </c:pt>
                <c:pt idx="2">
                  <c:v>9.5200000000000007E-2</c:v>
                </c:pt>
                <c:pt idx="3">
                  <c:v>2.5600000000000001E-2</c:v>
                </c:pt>
                <c:pt idx="4">
                  <c:v>2.2700000000000001E-2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D3E-4BFC-8492-910F5143BCE5}"/>
            </c:ext>
          </c:extLst>
        </c:ser>
        <c:ser>
          <c:idx val="2"/>
          <c:order val="2"/>
          <c:tx>
            <c:strRef>
              <c:f>Chart!$D$1</c:f>
              <c:strCache>
                <c:ptCount val="1"/>
                <c:pt idx="0">
                  <c:v>Equally Credible</c:v>
                </c:pt>
              </c:strCache>
            </c:strRef>
          </c:tx>
          <c:spPr>
            <a:ln w="28575" cap="rnd">
              <a:solidFill>
                <a:srgbClr val="2A9D8F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FFFF"/>
              </a:solidFill>
              <a:ln w="9525">
                <a:solidFill>
                  <a:srgbClr val="2A9D8F"/>
                </a:solidFill>
                <a:prstDash val="solid"/>
              </a:ln>
              <a:effectLst/>
            </c:spPr>
          </c:marker>
          <c:dLbls>
            <c:dLbl>
              <c:idx val="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2A9D8F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FA6-46A6-A00F-D181AAFE3264}"/>
                </c:ext>
              </c:extLst>
            </c:dLbl>
            <c:dLbl>
              <c:idx val="2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2A9D8F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FA6-46A6-A00F-D181AAFE3264}"/>
                </c:ext>
              </c:extLst>
            </c:dLbl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2A9D8F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3E-4BFC-8492-910F5143BCE5}"/>
                </c:ext>
              </c:extLst>
            </c:dLbl>
            <c:dLbl>
              <c:idx val="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2A9D8F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Chart!$A$2:$A$6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Chart!$D$2:$D$6</c:f>
              <c:numCache>
                <c:formatCode>0%</c:formatCode>
                <c:ptCount val="5"/>
                <c:pt idx="1">
                  <c:v>0.5333</c:v>
                </c:pt>
                <c:pt idx="2">
                  <c:v>0.42859999999999998</c:v>
                </c:pt>
                <c:pt idx="3">
                  <c:v>0.56410000000000005</c:v>
                </c:pt>
                <c:pt idx="4">
                  <c:v>0.56820000000000004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D3E-4BFC-8492-910F5143BCE5}"/>
            </c:ext>
          </c:extLst>
        </c:ser>
        <c:ser>
          <c:idx val="3"/>
          <c:order val="3"/>
          <c:tx>
            <c:strRef>
              <c:f>Chart!$E$1</c:f>
              <c:strCache>
                <c:ptCount val="1"/>
                <c:pt idx="0">
                  <c:v>No Preference</c:v>
                </c:pt>
              </c:strCache>
            </c:strRef>
          </c:tx>
          <c:spPr>
            <a:ln w="28575" cap="rnd">
              <a:solidFill>
                <a:srgbClr val="D4A843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FFFF"/>
              </a:solidFill>
              <a:ln w="9525">
                <a:solidFill>
                  <a:srgbClr val="D4A843"/>
                </a:solidFill>
                <a:prstDash val="solid"/>
              </a:ln>
              <a:effectLst/>
            </c:spPr>
          </c:marker>
          <c:dLbls>
            <c:dLbl>
              <c:idx val="0"/>
              <c:layout>
                <c:manualLayout>
                  <c:x val="1.9088016967126194E-2"/>
                  <c:y val="2.7210884353741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FA6-46A6-A00F-D181AAFE3264}"/>
                </c:ext>
              </c:extLst>
            </c:dLbl>
            <c:dLbl>
              <c:idx val="1"/>
              <c:layout>
                <c:manualLayout>
                  <c:x val="-2.5401201838105337E-2"/>
                  <c:y val="1.135625903904869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D4A84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FA6-46A6-A00F-D181AAFE3264}"/>
                </c:ext>
              </c:extLst>
            </c:dLbl>
            <c:dLbl>
              <c:idx val="2"/>
              <c:layout>
                <c:manualLayout>
                  <c:x val="-1.1261930010604505E-2"/>
                  <c:y val="2.8363061760137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D4A84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FA6-46A6-A00F-D181AAFE3264}"/>
                </c:ext>
              </c:extLst>
            </c:dLbl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D4A84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3E-4BFC-8492-910F5143BCE5}"/>
                </c:ext>
              </c:extLst>
            </c:dLbl>
            <c:dLbl>
              <c:idx val="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D4A84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Chart!$A$2:$A$6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Chart!$E$2:$E$6</c:f>
              <c:numCache>
                <c:formatCode>0%</c:formatCode>
                <c:ptCount val="5"/>
                <c:pt idx="0" formatCode="General">
                  <c:v>0.5</c:v>
                </c:pt>
                <c:pt idx="1">
                  <c:v>3.3300000000000003E-2</c:v>
                </c:pt>
                <c:pt idx="2">
                  <c:v>4.7600000000000003E-2</c:v>
                </c:pt>
                <c:pt idx="3">
                  <c:v>2.5600000000000001E-2</c:v>
                </c:pt>
                <c:pt idx="4">
                  <c:v>4.5499999999999999E-2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D3E-4BFC-8492-910F5143BCE5}"/>
            </c:ext>
          </c:extLst>
        </c:ser>
        <c:ser>
          <c:idx val="4"/>
          <c:order val="4"/>
          <c:tx>
            <c:strRef>
              <c:f>Chart!$F$1</c:f>
              <c:strCache>
                <c:ptCount val="1"/>
                <c:pt idx="0">
                  <c:v>Elaborate Opinions</c:v>
                </c:pt>
              </c:strCache>
            </c:strRef>
          </c:tx>
          <c:spPr>
            <a:ln w="28575" cap="rnd">
              <a:solidFill>
                <a:srgbClr val="8E7CC3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FFFF"/>
              </a:solidFill>
              <a:ln w="9525">
                <a:solidFill>
                  <a:srgbClr val="8E7CC3"/>
                </a:solidFill>
                <a:prstDash val="solid"/>
              </a:ln>
              <a:effectLst/>
            </c:spPr>
          </c:marker>
          <c:dLbls>
            <c:dLbl>
              <c:idx val="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8E7CC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FA6-46A6-A00F-D181AAFE3264}"/>
                </c:ext>
              </c:extLst>
            </c:dLbl>
            <c:dLbl>
              <c:idx val="2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8E7CC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FA6-46A6-A00F-D181AAFE3264}"/>
                </c:ext>
              </c:extLst>
            </c:dLbl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8E7CC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3E-4BFC-8492-910F5143BCE5}"/>
                </c:ext>
              </c:extLst>
            </c:dLbl>
            <c:dLbl>
              <c:idx val="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8E7CC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Chart!$A$2:$A$6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Chart!$F$2:$F$6</c:f>
              <c:numCache>
                <c:formatCode>0%</c:formatCode>
                <c:ptCount val="5"/>
                <c:pt idx="2">
                  <c:v>0.11899999999999999</c:v>
                </c:pt>
                <c:pt idx="3">
                  <c:v>0.2051</c:v>
                </c:pt>
                <c:pt idx="4">
                  <c:v>9.0899999999999995E-2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D3E-4BFC-8492-910F5143BC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5270575"/>
        <c:axId val="45271535"/>
      </c:lineChart>
      <c:catAx>
        <c:axId val="4527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r>
                  <a:rPr lang="en-US"/>
                  <a:t>Year of Survey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masis MT Pro" panose="020405040500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50505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45271535"/>
        <c:crosses val="autoZero"/>
        <c:auto val="1"/>
        <c:lblAlgn val="ctr"/>
        <c:lblOffset val="100"/>
        <c:noMultiLvlLbl val="0"/>
      </c:catAx>
      <c:valAx>
        <c:axId val="45271535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r>
                  <a:rPr lang="en-US"/>
                  <a:t>% of Votes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masis MT Pro" panose="020405040500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080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45270575"/>
        <c:crosses val="autoZero"/>
        <c:crossBetween val="between"/>
      </c:valAx>
      <c:valAx>
        <c:axId val="3568182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r>
                  <a:rPr lang="en-US"/>
                  <a:t>#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masis MT Pro" panose="020405040500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080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356827359"/>
        <c:crosses val="max"/>
        <c:crossBetween val="between"/>
      </c:valAx>
      <c:catAx>
        <c:axId val="3568273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6818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>
          <a:latin typeface="Amasis MT Pro" panose="020405040500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1028698</xdr:colOff>
      <xdr:row>8</xdr:row>
      <xdr:rowOff>28575</xdr:rowOff>
    </xdr:from>
    <xdr:to>
      <xdr:col>27</xdr:col>
      <xdr:colOff>276223</xdr:colOff>
      <xdr:row>47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AF705B-728C-8BF8-EF63-A8E56814C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938A58-EF93-41FB-86DC-24954AFDE3DB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e80049ea-5713-4151-9fa6-2f38aa927de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7F59-94B6-4F5A-ABC5-ADFEB8A77636}">
  <dimension ref="A1:B8"/>
  <sheetViews>
    <sheetView workbookViewId="0">
      <selection activeCell="A16" sqref="A16:A17"/>
    </sheetView>
  </sheetViews>
  <sheetFormatPr defaultRowHeight="15" x14ac:dyDescent="0.25"/>
  <cols>
    <col min="1" max="1" width="60.42578125" style="1" customWidth="1"/>
  </cols>
  <sheetData>
    <row r="1" spans="1:2" x14ac:dyDescent="0.25">
      <c r="A1" s="1" t="s">
        <v>0</v>
      </c>
    </row>
    <row r="3" spans="1:2" x14ac:dyDescent="0.25">
      <c r="A3" s="1">
        <v>2018</v>
      </c>
    </row>
    <row r="4" spans="1:2" ht="105" x14ac:dyDescent="0.25">
      <c r="A4" s="41" t="s">
        <v>71</v>
      </c>
    </row>
    <row r="6" spans="1:2" x14ac:dyDescent="0.25">
      <c r="A6" s="1" t="s">
        <v>1</v>
      </c>
      <c r="B6" s="2">
        <v>0.5</v>
      </c>
    </row>
    <row r="7" spans="1:2" x14ac:dyDescent="0.25">
      <c r="A7" s="1" t="s">
        <v>2</v>
      </c>
      <c r="B7" s="2">
        <v>0.5</v>
      </c>
    </row>
    <row r="8" spans="1:2" x14ac:dyDescent="0.25">
      <c r="A8" s="1" t="s">
        <v>3</v>
      </c>
      <c r="B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FA44-65D9-48FB-AA49-E18DFED22D7B}">
  <dimension ref="A1:F13"/>
  <sheetViews>
    <sheetView workbookViewId="0">
      <selection activeCell="E17" sqref="E17"/>
    </sheetView>
  </sheetViews>
  <sheetFormatPr defaultRowHeight="15" x14ac:dyDescent="0.25"/>
  <sheetData>
    <row r="1" spans="1:6" x14ac:dyDescent="0.25">
      <c r="A1" s="4" t="s">
        <v>12</v>
      </c>
      <c r="B1" s="4" t="s">
        <v>8</v>
      </c>
      <c r="C1" s="4" t="s">
        <v>11</v>
      </c>
      <c r="F1" s="4" t="s">
        <v>16</v>
      </c>
    </row>
    <row r="2" spans="1:6" x14ac:dyDescent="0.25">
      <c r="A2" s="2">
        <v>0.03</v>
      </c>
      <c r="B2">
        <v>1</v>
      </c>
      <c r="C2" t="s">
        <v>4</v>
      </c>
      <c r="F2" s="1" t="s">
        <v>20</v>
      </c>
    </row>
    <row r="3" spans="1:6" x14ac:dyDescent="0.25">
      <c r="A3" s="2">
        <v>0.4</v>
      </c>
      <c r="B3">
        <v>12</v>
      </c>
      <c r="C3" t="s">
        <v>5</v>
      </c>
      <c r="F3" s="1">
        <v>2</v>
      </c>
    </row>
    <row r="4" spans="1:6" x14ac:dyDescent="0.25">
      <c r="A4" s="2">
        <v>0.53</v>
      </c>
      <c r="B4">
        <v>16</v>
      </c>
      <c r="C4" t="s">
        <v>6</v>
      </c>
      <c r="F4" s="1">
        <v>1</v>
      </c>
    </row>
    <row r="5" spans="1:6" x14ac:dyDescent="0.25">
      <c r="A5" s="2">
        <v>0.03</v>
      </c>
      <c r="B5">
        <v>1</v>
      </c>
      <c r="C5" t="s">
        <v>9</v>
      </c>
      <c r="F5" s="1" t="s">
        <v>20</v>
      </c>
    </row>
    <row r="7" spans="1:6" x14ac:dyDescent="0.25">
      <c r="A7" s="3">
        <f>SUM(A2:A5)</f>
        <v>0.9900000000000001</v>
      </c>
      <c r="B7">
        <f>SUM(B2:B5)</f>
        <v>30</v>
      </c>
    </row>
    <row r="8" spans="1:6" x14ac:dyDescent="0.25">
      <c r="A8" t="s">
        <v>10</v>
      </c>
    </row>
    <row r="13" spans="1:6" x14ac:dyDescent="0.25">
      <c r="A13" t="s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032C-8201-46A9-B486-97931ADDE44D}">
  <dimension ref="A2:G30"/>
  <sheetViews>
    <sheetView workbookViewId="0">
      <selection activeCell="D19" sqref="D19"/>
    </sheetView>
  </sheetViews>
  <sheetFormatPr defaultRowHeight="15" x14ac:dyDescent="0.25"/>
  <cols>
    <col min="3" max="3" width="0" hidden="1" customWidth="1"/>
    <col min="4" max="4" width="43.7109375" customWidth="1"/>
    <col min="6" max="6" width="20.5703125" customWidth="1"/>
    <col min="7" max="7" width="19.28515625" customWidth="1"/>
  </cols>
  <sheetData>
    <row r="2" spans="1:7" x14ac:dyDescent="0.25">
      <c r="E2" t="s">
        <v>16</v>
      </c>
      <c r="F2" t="s">
        <v>17</v>
      </c>
      <c r="G2" t="s">
        <v>21</v>
      </c>
    </row>
    <row r="3" spans="1:7" x14ac:dyDescent="0.25">
      <c r="A3" s="2">
        <v>0.1</v>
      </c>
      <c r="B3" s="2">
        <f>C3/C$10</f>
        <v>9.5238095238095233E-2</v>
      </c>
      <c r="C3">
        <v>4</v>
      </c>
      <c r="D3" t="s">
        <v>4</v>
      </c>
      <c r="E3" s="6">
        <v>4</v>
      </c>
      <c r="F3" s="6">
        <v>-1</v>
      </c>
      <c r="G3" s="7">
        <v>2.3333333333333299</v>
      </c>
    </row>
    <row r="4" spans="1:7" x14ac:dyDescent="0.25">
      <c r="A4" s="2">
        <v>0.31</v>
      </c>
      <c r="B4" s="2">
        <f t="shared" ref="B4:B6" si="0">C4/C$10</f>
        <v>0.30952380952380953</v>
      </c>
      <c r="C4">
        <v>13</v>
      </c>
      <c r="D4" t="s">
        <v>5</v>
      </c>
      <c r="E4" s="6">
        <v>2</v>
      </c>
      <c r="F4" s="6" t="s">
        <v>19</v>
      </c>
      <c r="G4" s="7">
        <v>-0.27500000000000008</v>
      </c>
    </row>
    <row r="5" spans="1:7" x14ac:dyDescent="0.25">
      <c r="A5" s="2">
        <v>0.43</v>
      </c>
      <c r="B5" s="2">
        <f t="shared" si="0"/>
        <v>0.42857142857142855</v>
      </c>
      <c r="C5">
        <v>18</v>
      </c>
      <c r="D5" t="s">
        <v>6</v>
      </c>
      <c r="E5" s="6">
        <v>1</v>
      </c>
      <c r="F5" s="6" t="s">
        <v>19</v>
      </c>
      <c r="G5" s="7">
        <v>-0.16981132075471703</v>
      </c>
    </row>
    <row r="6" spans="1:7" x14ac:dyDescent="0.25">
      <c r="A6" s="2">
        <v>0.05</v>
      </c>
      <c r="B6" s="2">
        <f t="shared" si="0"/>
        <v>4.7619047619047616E-2</v>
      </c>
      <c r="C6">
        <v>2</v>
      </c>
      <c r="D6" t="s">
        <v>13</v>
      </c>
      <c r="E6" s="6">
        <v>5</v>
      </c>
      <c r="F6" s="6">
        <v>-2</v>
      </c>
      <c r="G6" s="7">
        <v>0.66666666666666685</v>
      </c>
    </row>
    <row r="7" spans="1:7" x14ac:dyDescent="0.25">
      <c r="A7" s="2">
        <v>0.12</v>
      </c>
      <c r="B7" s="2">
        <f>C7/C$10</f>
        <v>0.11904761904761904</v>
      </c>
      <c r="C7">
        <v>5</v>
      </c>
      <c r="D7" t="s">
        <v>15</v>
      </c>
      <c r="E7" s="6">
        <v>3</v>
      </c>
      <c r="F7" s="6" t="s">
        <v>18</v>
      </c>
      <c r="G7" s="7" t="s">
        <v>22</v>
      </c>
    </row>
    <row r="8" spans="1:7" x14ac:dyDescent="0.25">
      <c r="A8" s="2">
        <v>0</v>
      </c>
      <c r="B8" s="2">
        <f>C8/C$10</f>
        <v>0</v>
      </c>
      <c r="C8">
        <v>0</v>
      </c>
      <c r="D8" t="s">
        <v>14</v>
      </c>
      <c r="E8" s="6">
        <v>6</v>
      </c>
      <c r="F8" s="6" t="s">
        <v>18</v>
      </c>
      <c r="G8" s="7" t="s">
        <v>22</v>
      </c>
    </row>
    <row r="10" spans="1:7" x14ac:dyDescent="0.25">
      <c r="A10" s="2">
        <f>SUM(A3:A7)</f>
        <v>1.0100000000000002</v>
      </c>
      <c r="B10" s="2">
        <f>SUM(B3:B7)</f>
        <v>1</v>
      </c>
      <c r="C10" s="5">
        <f>SUM(C3:C7)</f>
        <v>42</v>
      </c>
    </row>
    <row r="24" spans="1:7" x14ac:dyDescent="0.25">
      <c r="A24" s="4"/>
      <c r="B24" s="4"/>
      <c r="C24" s="4"/>
      <c r="D24" s="4"/>
      <c r="G24" s="4"/>
    </row>
    <row r="25" spans="1:7" x14ac:dyDescent="0.25">
      <c r="A25" s="2"/>
      <c r="B25" s="2"/>
      <c r="G25" s="1"/>
    </row>
    <row r="26" spans="1:7" x14ac:dyDescent="0.25">
      <c r="A26" s="2"/>
      <c r="B26" s="2"/>
      <c r="G26" s="1"/>
    </row>
    <row r="27" spans="1:7" x14ac:dyDescent="0.25">
      <c r="A27" s="2"/>
      <c r="B27" s="2"/>
      <c r="G27" s="1"/>
    </row>
    <row r="28" spans="1:7" x14ac:dyDescent="0.25">
      <c r="A28" s="2"/>
      <c r="B28" s="2"/>
      <c r="G28" s="1"/>
    </row>
    <row r="30" spans="1:7" x14ac:dyDescent="0.25">
      <c r="A30" s="3"/>
      <c r="B30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4574-0862-4419-9A36-538522CC2A93}">
  <dimension ref="A2:J29"/>
  <sheetViews>
    <sheetView workbookViewId="0">
      <selection activeCell="F24" sqref="F24"/>
    </sheetView>
  </sheetViews>
  <sheetFormatPr defaultRowHeight="15" x14ac:dyDescent="0.25"/>
  <cols>
    <col min="3" max="3" width="11.42578125" customWidth="1"/>
    <col min="4" max="4" width="54.85546875" customWidth="1"/>
    <col min="5" max="5" width="14.7109375" customWidth="1"/>
    <col min="6" max="6" width="14.42578125" customWidth="1"/>
    <col min="7" max="7" width="20.5703125" customWidth="1"/>
    <col min="8" max="10" width="19.28515625" customWidth="1"/>
  </cols>
  <sheetData>
    <row r="2" spans="1:10" x14ac:dyDescent="0.25">
      <c r="A2" t="s">
        <v>35</v>
      </c>
      <c r="B2" t="s">
        <v>36</v>
      </c>
      <c r="C2" t="s">
        <v>37</v>
      </c>
      <c r="D2" t="s">
        <v>38</v>
      </c>
      <c r="E2" t="s">
        <v>34</v>
      </c>
      <c r="F2" t="s">
        <v>39</v>
      </c>
      <c r="G2" t="s">
        <v>17</v>
      </c>
      <c r="H2" t="s">
        <v>21</v>
      </c>
    </row>
    <row r="3" spans="1:10" x14ac:dyDescent="0.25">
      <c r="A3" s="10">
        <v>22</v>
      </c>
      <c r="B3" s="2">
        <v>0.5641025641025641</v>
      </c>
      <c r="C3">
        <v>18</v>
      </c>
      <c r="D3" t="s">
        <v>6</v>
      </c>
      <c r="E3">
        <v>1</v>
      </c>
      <c r="F3" s="6">
        <v>1</v>
      </c>
      <c r="G3" s="6" t="s">
        <v>19</v>
      </c>
      <c r="H3" s="7">
        <f>A3/C3</f>
        <v>1.2222222222222223</v>
      </c>
      <c r="I3" s="7"/>
      <c r="J3" s="7"/>
    </row>
    <row r="4" spans="1:10" x14ac:dyDescent="0.25">
      <c r="A4" s="10">
        <v>8</v>
      </c>
      <c r="B4" s="2">
        <v>0.20512820512820512</v>
      </c>
      <c r="C4">
        <v>5</v>
      </c>
      <c r="D4" t="s">
        <v>15</v>
      </c>
      <c r="E4">
        <v>2</v>
      </c>
      <c r="F4" s="6">
        <v>3</v>
      </c>
      <c r="G4" s="11" t="s">
        <v>40</v>
      </c>
      <c r="H4" s="7">
        <f>A4/C4</f>
        <v>1.6</v>
      </c>
      <c r="I4" s="7"/>
      <c r="J4" s="7"/>
    </row>
    <row r="5" spans="1:10" x14ac:dyDescent="0.25">
      <c r="A5" s="10">
        <v>6</v>
      </c>
      <c r="B5" s="2">
        <v>0.15384615384615385</v>
      </c>
      <c r="C5">
        <v>13</v>
      </c>
      <c r="D5" t="s">
        <v>5</v>
      </c>
      <c r="E5">
        <v>3</v>
      </c>
      <c r="F5" s="6">
        <v>2</v>
      </c>
      <c r="G5" s="6">
        <v>-1</v>
      </c>
      <c r="H5" s="7">
        <f>A5/C5</f>
        <v>0.46153846153846156</v>
      </c>
      <c r="I5" s="7"/>
      <c r="J5" s="7"/>
    </row>
    <row r="6" spans="1:10" x14ac:dyDescent="0.25">
      <c r="A6" s="10">
        <v>1</v>
      </c>
      <c r="B6" s="2">
        <v>2.564102564102564E-2</v>
      </c>
      <c r="C6">
        <v>4</v>
      </c>
      <c r="D6" t="s">
        <v>4</v>
      </c>
      <c r="E6">
        <v>4</v>
      </c>
      <c r="F6" s="6">
        <v>4</v>
      </c>
      <c r="G6" s="6" t="s">
        <v>19</v>
      </c>
      <c r="H6" s="7">
        <f>A6/C6</f>
        <v>0.25</v>
      </c>
      <c r="I6" s="7"/>
      <c r="J6" s="7"/>
    </row>
    <row r="7" spans="1:10" x14ac:dyDescent="0.25">
      <c r="A7" s="10">
        <v>1</v>
      </c>
      <c r="B7" s="2">
        <v>2.564102564102564E-2</v>
      </c>
      <c r="C7">
        <v>2</v>
      </c>
      <c r="D7" t="s">
        <v>13</v>
      </c>
      <c r="E7">
        <v>5</v>
      </c>
      <c r="F7" s="6">
        <v>5</v>
      </c>
      <c r="G7" s="6" t="s">
        <v>19</v>
      </c>
      <c r="H7" s="7">
        <f>A7/C7</f>
        <v>0.5</v>
      </c>
      <c r="I7" s="7"/>
      <c r="J7" s="7"/>
    </row>
    <row r="8" spans="1:10" x14ac:dyDescent="0.25">
      <c r="A8" s="10">
        <v>1</v>
      </c>
      <c r="B8" s="2">
        <v>2.564102564102564E-2</v>
      </c>
      <c r="C8">
        <v>0</v>
      </c>
      <c r="D8" t="s">
        <v>14</v>
      </c>
      <c r="E8">
        <v>6</v>
      </c>
      <c r="F8" s="6">
        <v>6</v>
      </c>
      <c r="G8" s="6" t="s">
        <v>19</v>
      </c>
      <c r="H8" s="7" t="s">
        <v>19</v>
      </c>
      <c r="I8" s="7"/>
      <c r="J8" s="7"/>
    </row>
    <row r="23" spans="1:10" x14ac:dyDescent="0.25">
      <c r="A23" s="4"/>
      <c r="B23" s="4"/>
      <c r="C23" s="4"/>
      <c r="D23" s="4"/>
      <c r="E23" s="4"/>
      <c r="H23" s="4"/>
      <c r="I23" s="4"/>
      <c r="J23" s="4"/>
    </row>
    <row r="24" spans="1:10" x14ac:dyDescent="0.25">
      <c r="A24" s="2"/>
      <c r="B24" s="2"/>
      <c r="H24" s="1"/>
      <c r="I24" s="1"/>
      <c r="J24" s="1"/>
    </row>
    <row r="25" spans="1:10" x14ac:dyDescent="0.25">
      <c r="A25" s="2"/>
      <c r="B25" s="2"/>
      <c r="H25" s="1"/>
      <c r="I25" s="1"/>
      <c r="J25" s="1"/>
    </row>
    <row r="26" spans="1:10" x14ac:dyDescent="0.25">
      <c r="A26" s="2"/>
      <c r="B26" s="2"/>
      <c r="H26" s="1"/>
      <c r="I26" s="1"/>
      <c r="J26" s="1"/>
    </row>
    <row r="27" spans="1:10" x14ac:dyDescent="0.25">
      <c r="A27" s="2"/>
      <c r="B27" s="2"/>
      <c r="H27" s="1"/>
      <c r="I27" s="1"/>
      <c r="J27" s="1"/>
    </row>
    <row r="29" spans="1:10" x14ac:dyDescent="0.25">
      <c r="A29" s="3"/>
      <c r="B29" s="3"/>
    </row>
  </sheetData>
  <autoFilter ref="A2:H7" xr:uid="{DD884574-0862-4419-9A36-538522CC2A93}">
    <sortState xmlns:xlrd2="http://schemas.microsoft.com/office/spreadsheetml/2017/richdata2" ref="A3:H25">
      <sortCondition descending="1" ref="B2:B7"/>
    </sortState>
  </autoFilter>
  <phoneticPr fontId="3" type="noConversion"/>
  <pageMargins left="0.7" right="0.7" top="0.75" bottom="0.75" header="0.3" footer="0.3"/>
  <pageSetup orientation="portrait" r:id="rId1"/>
  <ignoredErrors>
    <ignoredError sqref="G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F472-4ADE-466F-A5B8-4DD9354AE212}">
  <dimension ref="A2:J29"/>
  <sheetViews>
    <sheetView workbookViewId="0">
      <selection activeCell="D14" sqref="D14"/>
    </sheetView>
  </sheetViews>
  <sheetFormatPr defaultRowHeight="15" x14ac:dyDescent="0.25"/>
  <cols>
    <col min="1" max="1" width="12.5703125" customWidth="1"/>
    <col min="3" max="3" width="11.42578125" customWidth="1"/>
    <col min="4" max="4" width="54.85546875" customWidth="1"/>
    <col min="5" max="5" width="14.7109375" customWidth="1"/>
    <col min="6" max="6" width="14.42578125" customWidth="1"/>
    <col min="7" max="7" width="20.5703125" customWidth="1"/>
    <col min="8" max="10" width="19.28515625" customWidth="1"/>
  </cols>
  <sheetData>
    <row r="2" spans="1:10" x14ac:dyDescent="0.25">
      <c r="A2" t="s">
        <v>35</v>
      </c>
      <c r="B2" t="s">
        <v>36</v>
      </c>
      <c r="C2" t="s">
        <v>37</v>
      </c>
      <c r="D2" t="s">
        <v>38</v>
      </c>
      <c r="E2" t="s">
        <v>41</v>
      </c>
      <c r="F2" t="s">
        <v>34</v>
      </c>
      <c r="G2" t="s">
        <v>17</v>
      </c>
      <c r="H2" t="s">
        <v>21</v>
      </c>
    </row>
    <row r="3" spans="1:10" x14ac:dyDescent="0.25">
      <c r="A3" s="10">
        <v>25</v>
      </c>
      <c r="B3" s="2">
        <v>0.5641025641025641</v>
      </c>
      <c r="C3">
        <v>18</v>
      </c>
      <c r="D3" t="s">
        <v>6</v>
      </c>
      <c r="E3">
        <v>1</v>
      </c>
      <c r="F3">
        <v>1</v>
      </c>
      <c r="G3" s="6" t="s">
        <v>19</v>
      </c>
      <c r="H3" s="7">
        <f>A3/C3</f>
        <v>1.3888888888888888</v>
      </c>
      <c r="I3" s="7"/>
      <c r="J3" s="7"/>
    </row>
    <row r="4" spans="1:10" x14ac:dyDescent="0.25">
      <c r="A4" s="10">
        <v>12</v>
      </c>
      <c r="B4" s="2">
        <v>0.15384615384615385</v>
      </c>
      <c r="C4">
        <v>13</v>
      </c>
      <c r="D4" t="s">
        <v>5</v>
      </c>
      <c r="E4">
        <v>2</v>
      </c>
      <c r="F4">
        <v>3</v>
      </c>
      <c r="G4" s="11" t="s">
        <v>40</v>
      </c>
      <c r="H4" s="7">
        <f>A4/C4</f>
        <v>0.92307692307692313</v>
      </c>
      <c r="I4" s="7"/>
      <c r="J4" s="7"/>
    </row>
    <row r="5" spans="1:10" x14ac:dyDescent="0.25">
      <c r="A5" s="10">
        <v>4</v>
      </c>
      <c r="B5" s="2">
        <v>0.20512820512820512</v>
      </c>
      <c r="C5">
        <v>5</v>
      </c>
      <c r="D5" t="s">
        <v>15</v>
      </c>
      <c r="E5">
        <v>3</v>
      </c>
      <c r="F5">
        <v>2</v>
      </c>
      <c r="G5" s="11" t="s">
        <v>42</v>
      </c>
      <c r="H5" s="7">
        <f>A5/C5</f>
        <v>0.8</v>
      </c>
      <c r="I5" s="7"/>
      <c r="J5" s="7"/>
    </row>
    <row r="6" spans="1:10" x14ac:dyDescent="0.25">
      <c r="A6" s="10">
        <v>2</v>
      </c>
      <c r="B6" s="2">
        <v>2.564102564102564E-2</v>
      </c>
      <c r="C6">
        <v>2</v>
      </c>
      <c r="D6" t="s">
        <v>13</v>
      </c>
      <c r="E6">
        <v>4</v>
      </c>
      <c r="F6">
        <v>5</v>
      </c>
      <c r="G6" s="11" t="s">
        <v>40</v>
      </c>
      <c r="H6" s="7">
        <f>A6/C6</f>
        <v>1</v>
      </c>
      <c r="I6" s="7"/>
      <c r="J6" s="7"/>
    </row>
    <row r="7" spans="1:10" x14ac:dyDescent="0.25">
      <c r="A7" s="10">
        <v>1</v>
      </c>
      <c r="B7" s="2">
        <v>2.564102564102564E-2</v>
      </c>
      <c r="C7">
        <v>4</v>
      </c>
      <c r="D7" t="s">
        <v>4</v>
      </c>
      <c r="E7">
        <v>5</v>
      </c>
      <c r="F7">
        <v>4</v>
      </c>
      <c r="G7" s="11" t="s">
        <v>42</v>
      </c>
      <c r="H7" s="7">
        <f>A7/C7</f>
        <v>0.25</v>
      </c>
      <c r="I7" s="7"/>
      <c r="J7" s="7"/>
    </row>
    <row r="8" spans="1:10" x14ac:dyDescent="0.25">
      <c r="A8" s="10">
        <v>0</v>
      </c>
      <c r="B8" s="2">
        <v>2.564102564102564E-2</v>
      </c>
      <c r="C8">
        <v>0</v>
      </c>
      <c r="D8" t="s">
        <v>14</v>
      </c>
      <c r="E8">
        <v>6</v>
      </c>
      <c r="F8">
        <v>6</v>
      </c>
      <c r="G8" s="6" t="s">
        <v>19</v>
      </c>
      <c r="H8" s="7" t="s">
        <v>19</v>
      </c>
      <c r="I8" s="7"/>
      <c r="J8" s="7"/>
    </row>
    <row r="10" spans="1:10" x14ac:dyDescent="0.25">
      <c r="A10" s="10">
        <f>SUM(A3:A8)</f>
        <v>44</v>
      </c>
    </row>
    <row r="23" spans="1:10" x14ac:dyDescent="0.25">
      <c r="A23" s="4"/>
      <c r="B23" s="4"/>
      <c r="C23" s="4"/>
      <c r="D23" s="4"/>
      <c r="E23" s="4"/>
      <c r="H23" s="4"/>
      <c r="I23" s="4"/>
      <c r="J23" s="4"/>
    </row>
    <row r="24" spans="1:10" x14ac:dyDescent="0.25">
      <c r="A24" s="2"/>
      <c r="B24" s="2"/>
      <c r="H24" s="1"/>
      <c r="I24" s="1"/>
      <c r="J24" s="1"/>
    </row>
    <row r="25" spans="1:10" x14ac:dyDescent="0.25">
      <c r="A25" s="2"/>
      <c r="B25" s="2"/>
      <c r="H25" s="1"/>
      <c r="I25" s="1"/>
      <c r="J25" s="1"/>
    </row>
    <row r="26" spans="1:10" x14ac:dyDescent="0.25">
      <c r="A26" s="2"/>
      <c r="B26" s="2"/>
      <c r="H26" s="1"/>
      <c r="I26" s="1"/>
      <c r="J26" s="1"/>
    </row>
    <row r="27" spans="1:10" x14ac:dyDescent="0.25">
      <c r="A27" s="2"/>
      <c r="B27" s="2"/>
      <c r="H27" s="1"/>
      <c r="I27" s="1"/>
      <c r="J27" s="1"/>
    </row>
    <row r="29" spans="1:10" x14ac:dyDescent="0.25">
      <c r="A29" s="3"/>
      <c r="B29" s="3"/>
    </row>
  </sheetData>
  <autoFilter ref="A2:H7" xr:uid="{DD884574-0862-4419-9A36-538522CC2A93}">
    <sortState xmlns:xlrd2="http://schemas.microsoft.com/office/spreadsheetml/2017/richdata2" ref="A3:H8">
      <sortCondition descending="1" ref="A2:A7"/>
    </sortState>
  </autoFilter>
  <pageMargins left="0.7" right="0.7" top="0.75" bottom="0.75" header="0.3" footer="0.3"/>
  <pageSetup orientation="portrait" r:id="rId1"/>
  <ignoredErrors>
    <ignoredError sqref="G4:G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FD14-9961-428E-A89F-5844B04AC860}">
  <dimension ref="A1:D12"/>
  <sheetViews>
    <sheetView workbookViewId="0">
      <selection activeCell="A18" sqref="A18"/>
    </sheetView>
  </sheetViews>
  <sheetFormatPr defaultRowHeight="15" x14ac:dyDescent="0.25"/>
  <cols>
    <col min="1" max="1" width="36.5703125" customWidth="1"/>
    <col min="2" max="2" width="38.42578125" customWidth="1"/>
  </cols>
  <sheetData>
    <row r="1" spans="1:4" x14ac:dyDescent="0.25">
      <c r="A1" t="s">
        <v>23</v>
      </c>
    </row>
    <row r="2" spans="1:4" x14ac:dyDescent="0.25">
      <c r="A2" s="4" t="s">
        <v>24</v>
      </c>
      <c r="B2" s="4" t="s">
        <v>25</v>
      </c>
    </row>
    <row r="3" spans="1:4" x14ac:dyDescent="0.25">
      <c r="A3" t="s">
        <v>26</v>
      </c>
      <c r="B3" s="5">
        <v>6294</v>
      </c>
      <c r="D3" s="8"/>
    </row>
    <row r="4" spans="1:4" x14ac:dyDescent="0.25">
      <c r="A4" t="s">
        <v>27</v>
      </c>
      <c r="B4" s="5">
        <v>73170</v>
      </c>
      <c r="D4" s="8"/>
    </row>
    <row r="5" spans="1:4" x14ac:dyDescent="0.25">
      <c r="A5" t="s">
        <v>28</v>
      </c>
      <c r="B5" s="5">
        <v>49300</v>
      </c>
      <c r="D5" s="8"/>
    </row>
    <row r="6" spans="1:4" x14ac:dyDescent="0.25">
      <c r="A6" t="s">
        <v>29</v>
      </c>
      <c r="B6" s="5">
        <v>2883</v>
      </c>
      <c r="D6" s="8"/>
    </row>
    <row r="7" spans="1:4" x14ac:dyDescent="0.25">
      <c r="A7" t="s">
        <v>30</v>
      </c>
      <c r="B7" s="5">
        <v>1729</v>
      </c>
      <c r="D7" s="8"/>
    </row>
    <row r="8" spans="1:4" x14ac:dyDescent="0.25">
      <c r="A8" t="s">
        <v>31</v>
      </c>
      <c r="B8" s="5">
        <v>295</v>
      </c>
      <c r="D8" s="8"/>
    </row>
    <row r="9" spans="1:4" x14ac:dyDescent="0.25">
      <c r="A9" t="s">
        <v>32</v>
      </c>
      <c r="B9" s="5">
        <v>2081</v>
      </c>
      <c r="D9" s="8"/>
    </row>
    <row r="10" spans="1:4" x14ac:dyDescent="0.25">
      <c r="A10" t="s">
        <v>33</v>
      </c>
      <c r="B10" s="5">
        <v>1515</v>
      </c>
      <c r="D10" s="8"/>
    </row>
    <row r="12" spans="1:4" x14ac:dyDescent="0.25">
      <c r="A12" t="s">
        <v>70</v>
      </c>
      <c r="B12" s="9">
        <f>SUM(B3:B10)</f>
        <v>137267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E86C-85F8-4D5B-B0ED-98009FA78E4E}">
  <dimension ref="A1:AC152"/>
  <sheetViews>
    <sheetView tabSelected="1" topLeftCell="A11" workbookViewId="0">
      <selection activeCell="B23" sqref="B23"/>
    </sheetView>
  </sheetViews>
  <sheetFormatPr defaultRowHeight="15" x14ac:dyDescent="0.25"/>
  <cols>
    <col min="1" max="1" width="5" style="32" bestFit="1" customWidth="1"/>
    <col min="2" max="2" width="17.42578125" style="32" bestFit="1" customWidth="1"/>
    <col min="3" max="3" width="15.85546875" style="32" bestFit="1" customWidth="1"/>
    <col min="4" max="4" width="15.5703125" style="32" bestFit="1" customWidth="1"/>
    <col min="5" max="5" width="14" style="32" bestFit="1" customWidth="1"/>
    <col min="6" max="6" width="18.140625" style="32" bestFit="1" customWidth="1"/>
    <col min="7" max="7" width="16.85546875" style="32" customWidth="1"/>
    <col min="8" max="16384" width="9.140625" style="32"/>
  </cols>
  <sheetData>
    <row r="1" spans="1:29" x14ac:dyDescent="0.25">
      <c r="A1" s="31" t="s">
        <v>59</v>
      </c>
      <c r="B1" s="31" t="s">
        <v>60</v>
      </c>
      <c r="C1" s="31" t="s">
        <v>61</v>
      </c>
      <c r="D1" s="31" t="s">
        <v>62</v>
      </c>
      <c r="E1" s="31" t="s">
        <v>63</v>
      </c>
      <c r="F1" s="31" t="s">
        <v>64</v>
      </c>
      <c r="G1" s="31" t="s">
        <v>69</v>
      </c>
    </row>
    <row r="2" spans="1:29" x14ac:dyDescent="0.25">
      <c r="A2" s="42">
        <v>2018</v>
      </c>
      <c r="B2" s="31">
        <v>0.5</v>
      </c>
      <c r="C2" s="31">
        <v>0</v>
      </c>
      <c r="D2" s="31"/>
      <c r="E2" s="31">
        <v>0.5</v>
      </c>
      <c r="F2" s="31"/>
      <c r="G2" s="31">
        <v>22</v>
      </c>
    </row>
    <row r="3" spans="1:29" x14ac:dyDescent="0.25">
      <c r="A3" s="33" t="s">
        <v>65</v>
      </c>
      <c r="B3" s="34">
        <v>0.4</v>
      </c>
      <c r="C3" s="34">
        <v>3.3300000000000003E-2</v>
      </c>
      <c r="D3" s="34">
        <v>0.5333</v>
      </c>
      <c r="E3" s="34">
        <v>3.3300000000000003E-2</v>
      </c>
      <c r="F3" s="34"/>
      <c r="G3" s="35">
        <v>30</v>
      </c>
    </row>
    <row r="4" spans="1:29" x14ac:dyDescent="0.25">
      <c r="A4" s="33" t="s">
        <v>66</v>
      </c>
      <c r="B4" s="34">
        <v>0.3095</v>
      </c>
      <c r="C4" s="34">
        <v>9.5200000000000007E-2</v>
      </c>
      <c r="D4" s="34">
        <v>0.42859999999999998</v>
      </c>
      <c r="E4" s="34">
        <v>4.7600000000000003E-2</v>
      </c>
      <c r="F4" s="34">
        <v>0.11899999999999999</v>
      </c>
      <c r="G4" s="35">
        <v>42</v>
      </c>
    </row>
    <row r="5" spans="1:29" x14ac:dyDescent="0.25">
      <c r="A5" s="33" t="s">
        <v>67</v>
      </c>
      <c r="B5" s="34">
        <v>0.15379999999999999</v>
      </c>
      <c r="C5" s="34">
        <v>2.5600000000000001E-2</v>
      </c>
      <c r="D5" s="34">
        <v>0.56410000000000005</v>
      </c>
      <c r="E5" s="34">
        <v>2.5600000000000001E-2</v>
      </c>
      <c r="F5" s="34">
        <v>0.2051</v>
      </c>
      <c r="G5" s="35">
        <v>39</v>
      </c>
    </row>
    <row r="6" spans="1:29" x14ac:dyDescent="0.25">
      <c r="A6" s="36" t="s">
        <v>68</v>
      </c>
      <c r="B6" s="37">
        <v>0.2727</v>
      </c>
      <c r="C6" s="37">
        <v>2.2700000000000001E-2</v>
      </c>
      <c r="D6" s="37">
        <v>0.56820000000000004</v>
      </c>
      <c r="E6" s="37">
        <v>4.5499999999999999E-2</v>
      </c>
      <c r="F6" s="37">
        <v>9.0899999999999995E-2</v>
      </c>
      <c r="G6" s="38">
        <v>44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 spans="1:29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</row>
    <row r="8" spans="1:29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 spans="1:29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 spans="1:29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 spans="1:29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 spans="1:29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 spans="1:29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 spans="1:29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 spans="1:29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</row>
    <row r="16" spans="1:29" x14ac:dyDescent="0.2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</row>
    <row r="17" spans="1:29" x14ac:dyDescent="0.2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 spans="1:29" x14ac:dyDescent="0.2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 spans="1:29" x14ac:dyDescent="0.2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</row>
    <row r="20" spans="1:29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</row>
    <row r="21" spans="1:29" x14ac:dyDescent="0.2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</row>
    <row r="22" spans="1:29" x14ac:dyDescent="0.25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</row>
    <row r="23" spans="1:29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</row>
    <row r="24" spans="1:29" x14ac:dyDescent="0.2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</row>
    <row r="25" spans="1:29" x14ac:dyDescent="0.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</row>
    <row r="26" spans="1:29" x14ac:dyDescent="0.2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</row>
    <row r="27" spans="1:29" x14ac:dyDescent="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</row>
    <row r="28" spans="1:29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</row>
    <row r="29" spans="1:29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</row>
    <row r="30" spans="1:29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 spans="1:29" x14ac:dyDescent="0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</row>
    <row r="32" spans="1:29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</row>
    <row r="33" spans="1:29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</row>
    <row r="34" spans="1:29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</row>
    <row r="35" spans="1:29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</row>
    <row r="36" spans="1:29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</row>
    <row r="37" spans="1:29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</row>
    <row r="38" spans="1:29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</row>
    <row r="39" spans="1:29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</row>
    <row r="40" spans="1:29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</row>
    <row r="41" spans="1:29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</row>
    <row r="42" spans="1:29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</row>
    <row r="43" spans="1:29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</row>
    <row r="44" spans="1:29" x14ac:dyDescent="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</row>
    <row r="45" spans="1:29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</row>
    <row r="46" spans="1:29" x14ac:dyDescent="0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</row>
    <row r="47" spans="1:29" x14ac:dyDescent="0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</row>
    <row r="48" spans="1:29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</row>
    <row r="49" spans="1:29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</row>
    <row r="50" spans="1:29" x14ac:dyDescent="0.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</row>
    <row r="51" spans="1:29" x14ac:dyDescent="0.2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</row>
    <row r="52" spans="1:29" x14ac:dyDescent="0.2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</row>
    <row r="53" spans="1:29" x14ac:dyDescent="0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</row>
    <row r="54" spans="1:29" x14ac:dyDescent="0.2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</row>
    <row r="55" spans="1:29" x14ac:dyDescent="0.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</row>
    <row r="56" spans="1:29" x14ac:dyDescent="0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</row>
    <row r="57" spans="1:29" x14ac:dyDescent="0.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</row>
    <row r="58" spans="1:29" x14ac:dyDescent="0.2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</row>
    <row r="59" spans="1:29" x14ac:dyDescent="0.2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</row>
    <row r="60" spans="1:29" x14ac:dyDescent="0.2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</row>
    <row r="61" spans="1:29" x14ac:dyDescent="0.2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</row>
    <row r="62" spans="1:29" x14ac:dyDescent="0.2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</row>
    <row r="63" spans="1:29" x14ac:dyDescent="0.2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</row>
    <row r="64" spans="1:29" x14ac:dyDescent="0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</row>
    <row r="65" spans="1:29" x14ac:dyDescent="0.2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</row>
    <row r="66" spans="1:29" x14ac:dyDescent="0.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</row>
    <row r="67" spans="1:29" x14ac:dyDescent="0.2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</row>
    <row r="68" spans="1:29" x14ac:dyDescent="0.2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</row>
    <row r="69" spans="1:29" x14ac:dyDescent="0.2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</row>
    <row r="70" spans="1:29" x14ac:dyDescent="0.2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</row>
    <row r="71" spans="1:29" x14ac:dyDescent="0.2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</row>
    <row r="72" spans="1:29" x14ac:dyDescent="0.2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</row>
    <row r="73" spans="1:29" x14ac:dyDescent="0.2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</row>
    <row r="74" spans="1:29" x14ac:dyDescent="0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</row>
    <row r="75" spans="1:29" x14ac:dyDescent="0.2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</row>
    <row r="76" spans="1:29" x14ac:dyDescent="0.2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</row>
    <row r="77" spans="1:29" x14ac:dyDescent="0.2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</row>
    <row r="78" spans="1:29" x14ac:dyDescent="0.2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</row>
    <row r="79" spans="1:29" x14ac:dyDescent="0.2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</row>
    <row r="80" spans="1:29" x14ac:dyDescent="0.2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</row>
    <row r="81" spans="1:29" x14ac:dyDescent="0.2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</row>
    <row r="82" spans="1:29" x14ac:dyDescent="0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</row>
    <row r="83" spans="1:29" x14ac:dyDescent="0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</row>
    <row r="84" spans="1:29" x14ac:dyDescent="0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</row>
    <row r="85" spans="1:29" x14ac:dyDescent="0.2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</row>
    <row r="86" spans="1:29" x14ac:dyDescent="0.2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</row>
    <row r="87" spans="1:29" x14ac:dyDescent="0.2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 spans="1:29" x14ac:dyDescent="0.2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</row>
    <row r="89" spans="1:29" x14ac:dyDescent="0.2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</row>
    <row r="90" spans="1:29" x14ac:dyDescent="0.2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</row>
    <row r="91" spans="1:29" x14ac:dyDescent="0.2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</row>
    <row r="92" spans="1:29" x14ac:dyDescent="0.2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</row>
    <row r="93" spans="1:29" x14ac:dyDescent="0.2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</row>
    <row r="94" spans="1:29" x14ac:dyDescent="0.2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</row>
    <row r="95" spans="1:29" x14ac:dyDescent="0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</row>
    <row r="96" spans="1:29" x14ac:dyDescent="0.2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</row>
    <row r="97" spans="1:29" x14ac:dyDescent="0.2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</row>
    <row r="98" spans="1:29" x14ac:dyDescent="0.2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</row>
    <row r="99" spans="1:29" x14ac:dyDescent="0.2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</row>
    <row r="100" spans="1:29" x14ac:dyDescent="0.2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</row>
    <row r="101" spans="1:29" x14ac:dyDescent="0.2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</row>
    <row r="102" spans="1:29" x14ac:dyDescent="0.2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</row>
    <row r="103" spans="1:29" x14ac:dyDescent="0.2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</row>
    <row r="104" spans="1:29" x14ac:dyDescent="0.2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</row>
    <row r="105" spans="1:29" x14ac:dyDescent="0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</row>
    <row r="106" spans="1:29" x14ac:dyDescent="0.2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</row>
    <row r="107" spans="1:29" x14ac:dyDescent="0.2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</row>
    <row r="108" spans="1:29" x14ac:dyDescent="0.2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</row>
    <row r="109" spans="1:29" x14ac:dyDescent="0.2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</row>
    <row r="110" spans="1:29" x14ac:dyDescent="0.2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</row>
    <row r="111" spans="1:29" x14ac:dyDescent="0.2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</row>
    <row r="112" spans="1:29" x14ac:dyDescent="0.2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</row>
    <row r="113" spans="1:29" x14ac:dyDescent="0.2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</row>
    <row r="114" spans="1:29" x14ac:dyDescent="0.2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</row>
    <row r="115" spans="1:29" x14ac:dyDescent="0.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</row>
    <row r="116" spans="1:29" x14ac:dyDescent="0.2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</row>
    <row r="117" spans="1:29" x14ac:dyDescent="0.2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</row>
    <row r="118" spans="1:29" x14ac:dyDescent="0.2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</row>
    <row r="119" spans="1:29" x14ac:dyDescent="0.2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</row>
    <row r="120" spans="1:29" x14ac:dyDescent="0.2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</row>
    <row r="121" spans="1:29" x14ac:dyDescent="0.2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</row>
    <row r="122" spans="1:29" x14ac:dyDescent="0.2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</row>
    <row r="123" spans="1:29" x14ac:dyDescent="0.2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</row>
    <row r="124" spans="1:29" x14ac:dyDescent="0.2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</row>
    <row r="125" spans="1:29" x14ac:dyDescent="0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</row>
    <row r="126" spans="1:29" x14ac:dyDescent="0.2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</row>
    <row r="127" spans="1:29" x14ac:dyDescent="0.2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</row>
    <row r="128" spans="1:29" x14ac:dyDescent="0.2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</row>
    <row r="129" spans="1:29" x14ac:dyDescent="0.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</row>
    <row r="130" spans="1:29" x14ac:dyDescent="0.2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</row>
    <row r="131" spans="1:29" x14ac:dyDescent="0.2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</row>
    <row r="132" spans="1:29" x14ac:dyDescent="0.2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</row>
    <row r="133" spans="1:29" x14ac:dyDescent="0.2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</row>
    <row r="134" spans="1:29" x14ac:dyDescent="0.2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</row>
    <row r="135" spans="1:29" x14ac:dyDescent="0.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</row>
    <row r="136" spans="1:29" x14ac:dyDescent="0.2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</row>
    <row r="137" spans="1:29" x14ac:dyDescent="0.2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</row>
    <row r="138" spans="1:29" x14ac:dyDescent="0.2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</row>
    <row r="139" spans="1:29" x14ac:dyDescent="0.2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</row>
    <row r="140" spans="1:29" x14ac:dyDescent="0.2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</row>
    <row r="141" spans="1:29" x14ac:dyDescent="0.2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</row>
    <row r="142" spans="1:29" x14ac:dyDescent="0.2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</row>
    <row r="143" spans="1:29" x14ac:dyDescent="0.2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</row>
    <row r="144" spans="1:29" x14ac:dyDescent="0.2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</row>
    <row r="145" spans="1:29" x14ac:dyDescent="0.2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</row>
    <row r="146" spans="1:29" x14ac:dyDescent="0.2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</row>
    <row r="147" spans="1:29" x14ac:dyDescent="0.2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</row>
    <row r="148" spans="1:29" x14ac:dyDescent="0.2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</row>
    <row r="149" spans="1:29" x14ac:dyDescent="0.2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</row>
    <row r="150" spans="1:29" x14ac:dyDescent="0.2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</row>
    <row r="151" spans="1:29" x14ac:dyDescent="0.2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</row>
    <row r="152" spans="1:29" x14ac:dyDescent="0.2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1CFA-0534-497B-9AB6-6C346C0C0CB6}">
  <dimension ref="A1:F26"/>
  <sheetViews>
    <sheetView workbookViewId="0">
      <selection activeCell="B37" sqref="B37"/>
    </sheetView>
  </sheetViews>
  <sheetFormatPr defaultRowHeight="15" x14ac:dyDescent="0.25"/>
  <cols>
    <col min="1" max="1" width="41.85546875" customWidth="1"/>
    <col min="2" max="6" width="22.85546875" customWidth="1"/>
  </cols>
  <sheetData>
    <row r="1" spans="1:6" ht="18.75" x14ac:dyDescent="0.3">
      <c r="A1" s="40" t="s">
        <v>43</v>
      </c>
      <c r="B1" s="40"/>
      <c r="C1" s="40"/>
      <c r="D1" s="40"/>
      <c r="E1" s="40"/>
      <c r="F1" s="40"/>
    </row>
    <row r="3" spans="1:6" x14ac:dyDescent="0.25">
      <c r="A3" s="12" t="s">
        <v>44</v>
      </c>
      <c r="B3" s="13">
        <v>2018</v>
      </c>
      <c r="C3" s="13">
        <v>2019</v>
      </c>
      <c r="D3" s="13">
        <v>2020</v>
      </c>
      <c r="E3" s="13">
        <v>2021</v>
      </c>
      <c r="F3" s="13">
        <v>2022</v>
      </c>
    </row>
    <row r="4" spans="1:6" x14ac:dyDescent="0.25">
      <c r="A4" s="14" t="s">
        <v>45</v>
      </c>
      <c r="B4" s="15">
        <v>11</v>
      </c>
      <c r="C4" s="16">
        <v>12</v>
      </c>
      <c r="D4" s="16">
        <v>13</v>
      </c>
      <c r="E4" s="16">
        <v>6</v>
      </c>
      <c r="F4" s="16">
        <v>12</v>
      </c>
    </row>
    <row r="5" spans="1:6" x14ac:dyDescent="0.25">
      <c r="A5" s="17" t="s">
        <v>46</v>
      </c>
      <c r="B5" s="18">
        <v>0</v>
      </c>
      <c r="C5" s="19">
        <v>1</v>
      </c>
      <c r="D5" s="19">
        <v>4</v>
      </c>
      <c r="E5" s="19">
        <v>1</v>
      </c>
      <c r="F5" s="19">
        <v>1</v>
      </c>
    </row>
    <row r="6" spans="1:6" x14ac:dyDescent="0.25">
      <c r="A6" s="14" t="s">
        <v>6</v>
      </c>
      <c r="B6" s="15"/>
      <c r="C6" s="16">
        <v>16</v>
      </c>
      <c r="D6" s="16">
        <v>18</v>
      </c>
      <c r="E6" s="16">
        <v>22</v>
      </c>
      <c r="F6" s="16">
        <v>25</v>
      </c>
    </row>
    <row r="7" spans="1:6" x14ac:dyDescent="0.25">
      <c r="A7" s="17" t="s">
        <v>9</v>
      </c>
      <c r="B7" s="18">
        <v>11</v>
      </c>
      <c r="C7" s="19">
        <v>1</v>
      </c>
      <c r="D7" s="19">
        <v>2</v>
      </c>
      <c r="E7" s="19">
        <v>1</v>
      </c>
      <c r="F7" s="19">
        <v>2</v>
      </c>
    </row>
    <row r="8" spans="1:6" x14ac:dyDescent="0.25">
      <c r="A8" s="14" t="s">
        <v>47</v>
      </c>
      <c r="B8" s="15"/>
      <c r="C8" s="15" t="s">
        <v>49</v>
      </c>
      <c r="D8" s="16">
        <v>5</v>
      </c>
      <c r="E8" s="16">
        <v>8</v>
      </c>
      <c r="F8" s="16">
        <v>4</v>
      </c>
    </row>
    <row r="9" spans="1:6" x14ac:dyDescent="0.25">
      <c r="A9" s="22" t="s">
        <v>14</v>
      </c>
      <c r="B9" s="23"/>
      <c r="C9" s="23" t="s">
        <v>49</v>
      </c>
      <c r="D9" s="24">
        <v>0</v>
      </c>
      <c r="E9" s="24">
        <v>1</v>
      </c>
      <c r="F9" s="24">
        <v>0</v>
      </c>
    </row>
    <row r="10" spans="1:6" ht="15.75" thickBot="1" x14ac:dyDescent="0.3">
      <c r="A10" s="25" t="s">
        <v>48</v>
      </c>
      <c r="B10" s="26">
        <v>22</v>
      </c>
      <c r="C10" s="27">
        <v>30</v>
      </c>
      <c r="D10" s="27">
        <v>42</v>
      </c>
      <c r="E10" s="27">
        <v>39</v>
      </c>
      <c r="F10" s="27">
        <v>44</v>
      </c>
    </row>
    <row r="12" spans="1:6" x14ac:dyDescent="0.25">
      <c r="A12" s="12" t="s">
        <v>50</v>
      </c>
      <c r="B12" s="30">
        <v>2018</v>
      </c>
      <c r="C12" s="30">
        <v>2019</v>
      </c>
      <c r="D12" s="30">
        <v>2020</v>
      </c>
      <c r="E12" s="30">
        <v>2021</v>
      </c>
      <c r="F12" s="30">
        <v>2022</v>
      </c>
    </row>
    <row r="13" spans="1:6" x14ac:dyDescent="0.25">
      <c r="A13" s="14" t="s">
        <v>45</v>
      </c>
      <c r="B13" s="20">
        <v>0.5</v>
      </c>
      <c r="C13" s="20">
        <f t="shared" ref="C13:C18" si="0">IF(ISNUMBER(C4),C4/C$10,"—")</f>
        <v>0.4</v>
      </c>
      <c r="D13" s="20">
        <f t="shared" ref="D13:F13" si="1">IF(ISNUMBER(D4),D4/D$10,"—")</f>
        <v>0.30952380952380953</v>
      </c>
      <c r="E13" s="20">
        <f t="shared" si="1"/>
        <v>0.15384615384615385</v>
      </c>
      <c r="F13" s="20">
        <f t="shared" si="1"/>
        <v>0.27272727272727271</v>
      </c>
    </row>
    <row r="14" spans="1:6" x14ac:dyDescent="0.25">
      <c r="A14" s="17" t="s">
        <v>46</v>
      </c>
      <c r="B14" s="21">
        <v>0</v>
      </c>
      <c r="C14" s="21">
        <f t="shared" si="0"/>
        <v>3.3333333333333333E-2</v>
      </c>
      <c r="D14" s="21">
        <f t="shared" ref="D14:F14" si="2">IF(ISNUMBER(D5),D5/D$10,"—")</f>
        <v>9.5238095238095233E-2</v>
      </c>
      <c r="E14" s="21">
        <f t="shared" si="2"/>
        <v>2.564102564102564E-2</v>
      </c>
      <c r="F14" s="21">
        <f t="shared" si="2"/>
        <v>2.2727272727272728E-2</v>
      </c>
    </row>
    <row r="15" spans="1:6" x14ac:dyDescent="0.25">
      <c r="A15" s="14" t="s">
        <v>6</v>
      </c>
      <c r="B15" s="15" t="s">
        <v>22</v>
      </c>
      <c r="C15" s="20">
        <f t="shared" si="0"/>
        <v>0.53333333333333333</v>
      </c>
      <c r="D15" s="20">
        <f t="shared" ref="D15:F15" si="3">IF(ISNUMBER(D6),D6/D$10,"—")</f>
        <v>0.42857142857142855</v>
      </c>
      <c r="E15" s="20">
        <f t="shared" si="3"/>
        <v>0.5641025641025641</v>
      </c>
      <c r="F15" s="20">
        <f t="shared" si="3"/>
        <v>0.56818181818181823</v>
      </c>
    </row>
    <row r="16" spans="1:6" x14ac:dyDescent="0.25">
      <c r="A16" s="17" t="s">
        <v>9</v>
      </c>
      <c r="B16" s="21">
        <v>0.5</v>
      </c>
      <c r="C16" s="21">
        <f t="shared" si="0"/>
        <v>3.3333333333333333E-2</v>
      </c>
      <c r="D16" s="21">
        <f t="shared" ref="D16:F16" si="4">IF(ISNUMBER(D7),D7/D$10,"—")</f>
        <v>4.7619047619047616E-2</v>
      </c>
      <c r="E16" s="21">
        <f t="shared" si="4"/>
        <v>2.564102564102564E-2</v>
      </c>
      <c r="F16" s="21">
        <f t="shared" si="4"/>
        <v>4.5454545454545456E-2</v>
      </c>
    </row>
    <row r="17" spans="1:6" x14ac:dyDescent="0.25">
      <c r="A17" s="14" t="s">
        <v>47</v>
      </c>
      <c r="B17" s="15" t="s">
        <v>49</v>
      </c>
      <c r="C17" s="20" t="str">
        <f t="shared" si="0"/>
        <v>—</v>
      </c>
      <c r="D17" s="20">
        <f t="shared" ref="D17:F17" si="5">IF(ISNUMBER(D8),D8/D$10,"—")</f>
        <v>0.11904761904761904</v>
      </c>
      <c r="E17" s="20">
        <f t="shared" si="5"/>
        <v>0.20512820512820512</v>
      </c>
      <c r="F17" s="20">
        <f t="shared" si="5"/>
        <v>9.0909090909090912E-2</v>
      </c>
    </row>
    <row r="18" spans="1:6" x14ac:dyDescent="0.25">
      <c r="A18" s="17" t="s">
        <v>14</v>
      </c>
      <c r="B18" s="18" t="s">
        <v>49</v>
      </c>
      <c r="C18" s="21" t="str">
        <f t="shared" si="0"/>
        <v>—</v>
      </c>
      <c r="D18" s="21">
        <f t="shared" ref="D18:F18" si="6">IF(ISNUMBER(D9),D9/D$10,"—")</f>
        <v>0</v>
      </c>
      <c r="E18" s="21">
        <f t="shared" si="6"/>
        <v>2.564102564102564E-2</v>
      </c>
      <c r="F18" s="21">
        <f t="shared" si="6"/>
        <v>0</v>
      </c>
    </row>
    <row r="20" spans="1:6" x14ac:dyDescent="0.25">
      <c r="A20" s="12" t="s">
        <v>51</v>
      </c>
      <c r="B20" s="13">
        <v>2018</v>
      </c>
      <c r="C20" s="13">
        <v>2019</v>
      </c>
      <c r="D20" s="13">
        <v>2020</v>
      </c>
      <c r="E20" s="13">
        <v>2021</v>
      </c>
      <c r="F20" s="13">
        <v>2022</v>
      </c>
    </row>
    <row r="21" spans="1:6" x14ac:dyDescent="0.25">
      <c r="A21" s="14" t="s">
        <v>45</v>
      </c>
      <c r="B21" s="15">
        <f>IF(ISNUMBER(B4),RANK(B4,B$4:B$9,0),"—")</f>
        <v>1</v>
      </c>
      <c r="C21" s="16">
        <f t="shared" ref="C21:C26" si="7">IF(ISNUMBER(C4),RANK(C4,C$4:C$9,0),"—")</f>
        <v>2</v>
      </c>
      <c r="D21" s="16">
        <f t="shared" ref="D21:F21" si="8">IF(ISNUMBER(D4),RANK(D4,D$4:D$9,0),"—")</f>
        <v>2</v>
      </c>
      <c r="E21" s="16">
        <f t="shared" si="8"/>
        <v>3</v>
      </c>
      <c r="F21" s="16">
        <f t="shared" si="8"/>
        <v>2</v>
      </c>
    </row>
    <row r="22" spans="1:6" x14ac:dyDescent="0.25">
      <c r="A22" s="17" t="s">
        <v>46</v>
      </c>
      <c r="B22" s="18">
        <f>IF(ISNUMBER(B5),RANK(B5,B$4:B$9,0),"—")</f>
        <v>3</v>
      </c>
      <c r="C22" s="19">
        <f t="shared" si="7"/>
        <v>3</v>
      </c>
      <c r="D22" s="19">
        <f t="shared" ref="D22:F22" si="9">IF(ISNUMBER(D5),RANK(D5,D$4:D$9,0),"—")</f>
        <v>4</v>
      </c>
      <c r="E22" s="19">
        <f t="shared" si="9"/>
        <v>4</v>
      </c>
      <c r="F22" s="19">
        <f t="shared" si="9"/>
        <v>5</v>
      </c>
    </row>
    <row r="23" spans="1:6" x14ac:dyDescent="0.25">
      <c r="A23" s="14" t="s">
        <v>6</v>
      </c>
      <c r="B23" s="15" t="str">
        <f>IF(ISNUMBER(B6),RANK(B6,B$4:B$9,0),"—")</f>
        <v>—</v>
      </c>
      <c r="C23" s="16">
        <f t="shared" si="7"/>
        <v>1</v>
      </c>
      <c r="D23" s="16">
        <f t="shared" ref="D23:F23" si="10">IF(ISNUMBER(D6),RANK(D6,D$4:D$9,0),"—")</f>
        <v>1</v>
      </c>
      <c r="E23" s="16">
        <f t="shared" si="10"/>
        <v>1</v>
      </c>
      <c r="F23" s="16">
        <f t="shared" si="10"/>
        <v>1</v>
      </c>
    </row>
    <row r="24" spans="1:6" x14ac:dyDescent="0.25">
      <c r="A24" s="17" t="s">
        <v>9</v>
      </c>
      <c r="B24" s="18">
        <f>IF(ISNUMBER(B7),RANK(B7,B$4:B$9,0),"—")</f>
        <v>1</v>
      </c>
      <c r="C24" s="19">
        <f t="shared" si="7"/>
        <v>3</v>
      </c>
      <c r="D24" s="19">
        <f t="shared" ref="D24:F24" si="11">IF(ISNUMBER(D7),RANK(D7,D$4:D$9,0),"—")</f>
        <v>5</v>
      </c>
      <c r="E24" s="19">
        <f t="shared" si="11"/>
        <v>4</v>
      </c>
      <c r="F24" s="19">
        <f t="shared" si="11"/>
        <v>4</v>
      </c>
    </row>
    <row r="25" spans="1:6" x14ac:dyDescent="0.25">
      <c r="A25" s="14" t="s">
        <v>47</v>
      </c>
      <c r="B25" s="15" t="str">
        <f>IF(ISNUMBER(B8),RANK(B8,B$4:B$9,0),"—")</f>
        <v>—</v>
      </c>
      <c r="C25" s="16" t="str">
        <f t="shared" si="7"/>
        <v>—</v>
      </c>
      <c r="D25" s="16">
        <f t="shared" ref="D25:F25" si="12">IF(ISNUMBER(D8),RANK(D8,D$4:D$9,0),"—")</f>
        <v>3</v>
      </c>
      <c r="E25" s="16">
        <f t="shared" si="12"/>
        <v>2</v>
      </c>
      <c r="F25" s="16">
        <f t="shared" si="12"/>
        <v>3</v>
      </c>
    </row>
    <row r="26" spans="1:6" x14ac:dyDescent="0.25">
      <c r="A26" s="17" t="s">
        <v>14</v>
      </c>
      <c r="B26" s="18" t="str">
        <f>IF(ISNUMBER(B9),RANK(B9,B$4:B$9,0),"—")</f>
        <v>—</v>
      </c>
      <c r="C26" s="19" t="str">
        <f t="shared" si="7"/>
        <v>—</v>
      </c>
      <c r="D26" s="19">
        <f t="shared" ref="D26:F26" si="13">IF(ISNUMBER(D9),RANK(D9,D$4:D$9,0),"—")</f>
        <v>6</v>
      </c>
      <c r="E26" s="19">
        <f t="shared" si="13"/>
        <v>4</v>
      </c>
      <c r="F26" s="19">
        <f t="shared" si="13"/>
        <v>6</v>
      </c>
    </row>
  </sheetData>
  <mergeCells count="1">
    <mergeCell ref="A1:F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3BFE-6E14-44E3-92ED-E2C6822CAFB6}">
  <dimension ref="A1:A21"/>
  <sheetViews>
    <sheetView workbookViewId="0">
      <selection activeCell="A26" sqref="A26"/>
    </sheetView>
  </sheetViews>
  <sheetFormatPr defaultRowHeight="15" x14ac:dyDescent="0.25"/>
  <cols>
    <col min="1" max="1" width="186" customWidth="1"/>
  </cols>
  <sheetData>
    <row r="1" spans="1:1" ht="18.75" x14ac:dyDescent="0.3">
      <c r="A1" s="28" t="s">
        <v>52</v>
      </c>
    </row>
    <row r="3" spans="1:1" ht="15.75" x14ac:dyDescent="0.25">
      <c r="A3" s="29" t="s">
        <v>53</v>
      </c>
    </row>
    <row r="4" spans="1:1" x14ac:dyDescent="0.25">
      <c r="A4" t="s">
        <v>73</v>
      </c>
    </row>
    <row r="6" spans="1:1" ht="15.75" x14ac:dyDescent="0.25">
      <c r="A6" s="29" t="s">
        <v>54</v>
      </c>
    </row>
    <row r="7" spans="1:1" x14ac:dyDescent="0.25">
      <c r="A7" t="s">
        <v>72</v>
      </c>
    </row>
    <row r="8" spans="1:1" x14ac:dyDescent="0.25">
      <c r="A8" t="s">
        <v>55</v>
      </c>
    </row>
    <row r="9" spans="1:1" x14ac:dyDescent="0.25">
      <c r="A9" t="s">
        <v>56</v>
      </c>
    </row>
    <row r="10" spans="1:1" x14ac:dyDescent="0.25">
      <c r="A10" t="s">
        <v>57</v>
      </c>
    </row>
    <row r="12" spans="1:1" ht="15.75" x14ac:dyDescent="0.25">
      <c r="A12" s="29" t="s">
        <v>58</v>
      </c>
    </row>
    <row r="13" spans="1:1" x14ac:dyDescent="0.25">
      <c r="A13" t="s">
        <v>74</v>
      </c>
    </row>
    <row r="14" spans="1:1" x14ac:dyDescent="0.25">
      <c r="A14" t="s">
        <v>75</v>
      </c>
    </row>
    <row r="15" spans="1:1" x14ac:dyDescent="0.25">
      <c r="A15" t="s">
        <v>76</v>
      </c>
    </row>
    <row r="16" spans="1:1" x14ac:dyDescent="0.25">
      <c r="A16" t="s">
        <v>77</v>
      </c>
    </row>
    <row r="17" spans="1:1" x14ac:dyDescent="0.25">
      <c r="A17" t="s">
        <v>78</v>
      </c>
    </row>
    <row r="18" spans="1:1" x14ac:dyDescent="0.25">
      <c r="A18" t="s">
        <v>79</v>
      </c>
    </row>
    <row r="19" spans="1:1" x14ac:dyDescent="0.25">
      <c r="A19" t="s">
        <v>80</v>
      </c>
    </row>
    <row r="20" spans="1:1" x14ac:dyDescent="0.25">
      <c r="A20" t="s">
        <v>81</v>
      </c>
    </row>
    <row r="21" spans="1:1" x14ac:dyDescent="0.25">
      <c r="A2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2018</vt:lpstr>
      <vt:lpstr>2019</vt:lpstr>
      <vt:lpstr>2020</vt:lpstr>
      <vt:lpstr>2021</vt:lpstr>
      <vt:lpstr>2022</vt:lpstr>
      <vt:lpstr>HRCI numbers</vt:lpstr>
      <vt:lpstr>Chart</vt:lpstr>
      <vt:lpstr>Full Time Series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Cook</dc:creator>
  <cp:lastModifiedBy>Eric Cook</cp:lastModifiedBy>
  <dcterms:created xsi:type="dcterms:W3CDTF">2019-07-17T17:13:59Z</dcterms:created>
  <dcterms:modified xsi:type="dcterms:W3CDTF">2026-04-24T16:43:46Z</dcterms:modified>
</cp:coreProperties>
</file>